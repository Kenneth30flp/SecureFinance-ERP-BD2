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DOCUMENTACION\"/>
    </mc:Choice>
  </mc:AlternateContent>
  <xr:revisionPtr revIDLastSave="0" documentId="13_ncr:1_{D1C63D76-98E8-4640-9C16-A3567D6B55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riz" sheetId="1" r:id="rId1"/>
    <sheet name="Resum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2" l="1"/>
  <c r="B6" i="2"/>
  <c r="C6" i="2" s="1"/>
  <c r="B5" i="2"/>
  <c r="C5" i="2" s="1"/>
  <c r="B4" i="2"/>
  <c r="C4" i="2" s="1"/>
</calcChain>
</file>

<file path=xl/sharedStrings.xml><?xml version="1.0" encoding="utf-8"?>
<sst xmlns="http://schemas.openxmlformats.org/spreadsheetml/2006/main" count="257" uniqueCount="170">
  <si>
    <t>ID</t>
  </si>
  <si>
    <t>Requisito / descripción</t>
  </si>
  <si>
    <t>Módulo</t>
  </si>
  <si>
    <t>Archivos/procedimientos</t>
  </si>
  <si>
    <t>Evidencia</t>
  </si>
  <si>
    <t>Caso asociado</t>
  </si>
  <si>
    <t>Tipo de prueba</t>
  </si>
  <si>
    <t>Resultado observado</t>
  </si>
  <si>
    <t>Estado</t>
  </si>
  <si>
    <t>RF-01</t>
  </si>
  <si>
    <t>Autenticar y registrar intentos</t>
  </si>
  <si>
    <t>Autenticación</t>
  </si>
  <si>
    <t>authService.js; 03_SecurityStoredProcedures.sql</t>
  </si>
  <si>
    <t>SecurityTests.sql; LoginReal.md</t>
  </si>
  <si>
    <t>Automatizada/SQL o revisión</t>
  </si>
  <si>
    <t>Node/SQL parcial; login manual pendiente</t>
  </si>
  <si>
    <t>Con observaciones</t>
  </si>
  <si>
    <t>RF-02</t>
  </si>
  <si>
    <t>Aplicar RBAC por módulo</t>
  </si>
  <si>
    <t>Seguridad</t>
  </si>
  <si>
    <t>authMiddleware.js; 02/03/10 SQL</t>
  </si>
  <si>
    <t>tests/*; pruebas de permisos</t>
  </si>
  <si>
    <t>Automatizada y SQL por módulo; aceptación integral pendiente</t>
  </si>
  <si>
    <t>RF-03</t>
  </si>
  <si>
    <t>Administrar roles</t>
  </si>
  <si>
    <t>Usuarios</t>
  </si>
  <si>
    <t>usuarioRoutes.js; 11_UserAdministration.sql</t>
  </si>
  <si>
    <t>usuarios.test.js; UserAdministrationTests.sql</t>
  </si>
  <si>
    <t>Node/SQL documentados</t>
  </si>
  <si>
    <t>Aprobado</t>
  </si>
  <si>
    <t>RF-04</t>
  </si>
  <si>
    <t>Recuperar/cambiar contraseña</t>
  </si>
  <si>
    <t>Acceso</t>
  </si>
  <si>
    <t>passwordRoutes.js; 12_PasswordRecovery.sql</t>
  </si>
  <si>
    <t>password.test.js; SQL recovery</t>
  </si>
  <si>
    <t>Automatizada; correo externo requiere configuración</t>
  </si>
  <si>
    <t>RF-05</t>
  </si>
  <si>
    <t>Dashboard operativo</t>
  </si>
  <si>
    <t>Dashboard</t>
  </si>
  <si>
    <t>dashboardRoutes.js; 14_DashboardSummary.sql</t>
  </si>
  <si>
    <t>dashboard.test.js</t>
  </si>
  <si>
    <t>Node/mocks; captura no disponible</t>
  </si>
  <si>
    <t>RF-06</t>
  </si>
  <si>
    <t>Venta multiproducto ACID</t>
  </si>
  <si>
    <t>Ventas</t>
  </si>
  <si>
    <t>ventaRoutes.js; 21_IntegracionFacturacionKardex.sql</t>
  </si>
  <si>
    <t>TransactionIntegrationTests; SQL A–O</t>
  </si>
  <si>
    <t>SQL aislada y navegador QA</t>
  </si>
  <si>
    <t>RF-07</t>
  </si>
  <si>
    <t>Descuentos e IVA</t>
  </si>
  <si>
    <t>12_SalesDiscounts.sql</t>
  </si>
  <si>
    <t>SalesDiscountTests.sql</t>
  </si>
  <si>
    <t>Regresión documentada</t>
  </si>
  <si>
    <t>RF-08</t>
  </si>
  <si>
    <t>Idempotencia de venta</t>
  </si>
  <si>
    <t>37_ERP_VentaIdempotente.sql</t>
  </si>
  <si>
    <t>StabilizationConcurrency.js</t>
  </si>
  <si>
    <t>SQL concurrente documentada</t>
  </si>
  <si>
    <t>RF-09</t>
  </si>
  <si>
    <t>Historial e impresión factura</t>
  </si>
  <si>
    <t>Facturación</t>
  </si>
  <si>
    <t>39_ERP_HistorialFacturas.sql; facturaService.js</t>
  </si>
  <si>
    <t>InvoiceHistoryIntegration; invoiceHistory.browser</t>
  </si>
  <si>
    <t>SQL en copia; QA sin POST de venta</t>
  </si>
  <si>
    <t>RF-10</t>
  </si>
  <si>
    <t>SKU único automático</t>
  </si>
  <si>
    <t>Productos</t>
  </si>
  <si>
    <t>38_ERP_ProductoSKUAutomatico.sql</t>
  </si>
  <si>
    <t>ProductSKUIntegration; productSku.browser</t>
  </si>
  <si>
    <t>SQL concurrente y Chromium QA</t>
  </si>
  <si>
    <t>RF-11</t>
  </si>
  <si>
    <t>Proveedores alternativos</t>
  </si>
  <si>
    <t>Proveedores</t>
  </si>
  <si>
    <t>33_ERP_ProductoProveedor.sql</t>
  </si>
  <si>
    <t>StabilizationRegression.sql</t>
  </si>
  <si>
    <t>Regresión SQL documentada</t>
  </si>
  <si>
    <t>RF-12</t>
  </si>
  <si>
    <t>Recepción con proveedor</t>
  </si>
  <si>
    <t>Compras</t>
  </si>
  <si>
    <t>34_ERP_RecepcionesCompra.sql</t>
  </si>
  <si>
    <t>SQL A–E; evidencias 01–03</t>
  </si>
  <si>
    <t>RF-13</t>
  </si>
  <si>
    <t>Kardex/conciliación</t>
  </si>
  <si>
    <t>Inventario</t>
  </si>
  <si>
    <t>17/21/22/34 SQL</t>
  </si>
  <si>
    <t>ParteII Kardex; Stabilization SQL</t>
  </si>
  <si>
    <t>Suites SQL documentadas</t>
  </si>
  <si>
    <t>RF-14</t>
  </si>
  <si>
    <t>Clientes y NIT</t>
  </si>
  <si>
    <t>Clientes</t>
  </si>
  <si>
    <t>23_ParteII_MantenimientoClientes.sql</t>
  </si>
  <si>
    <t>kenneth.test.js; regresiones</t>
  </si>
  <si>
    <t>NIT real no modificado en estabilización</t>
  </si>
  <si>
    <t>RF-15</t>
  </si>
  <si>
    <t>Inactivar y preservar documentos</t>
  </si>
  <si>
    <t>sp_InactivarCliente; auditoría 19</t>
  </si>
  <si>
    <t>Kenneth/estabilización SQL</t>
  </si>
  <si>
    <t>Integración y regresión SQL</t>
  </si>
  <si>
    <t>RF-16</t>
  </si>
  <si>
    <t>Reactivar con motivo/auditoría</t>
  </si>
  <si>
    <t>40_ERP_ReactivarCliente.sql</t>
  </si>
  <si>
    <t>ClientReactivationIntegration; browser</t>
  </si>
  <si>
    <t>SQL copia; despliegue verificado; no acción sobre ClienteId 3</t>
  </si>
  <si>
    <t>RF-17</t>
  </si>
  <si>
    <t>Devolución y reingreso</t>
  </si>
  <si>
    <t>Posventa</t>
  </si>
  <si>
    <t>24_Edward_Devoluciones.sql</t>
  </si>
  <si>
    <t>EdwardTests; SQL estabilización</t>
  </si>
  <si>
    <t>SQL de laboratorio; cobertura parcial</t>
  </si>
  <si>
    <t>RF-18</t>
  </si>
  <si>
    <t>Aplicar nota de crédito</t>
  </si>
  <si>
    <t>Crédito</t>
  </si>
  <si>
    <t>35_ERP_AplicacionesNotaCredito.sql</t>
  </si>
  <si>
    <t>SQL H–J; navegador QA</t>
  </si>
  <si>
    <t>Parcial/final; reembolso externo</t>
  </si>
  <si>
    <t>RF-19</t>
  </si>
  <si>
    <t>Ticket y seguimiento garantía</t>
  </si>
  <si>
    <t>Garantías</t>
  </si>
  <si>
    <t>25_Edward_Garantias.sql</t>
  </si>
  <si>
    <t>EdwardTests; captura 09</t>
  </si>
  <si>
    <t>Flujos principales; combinatoria parcial</t>
  </si>
  <si>
    <t>RF-20</t>
  </si>
  <si>
    <t>Analítica ejecutiva</t>
  </si>
  <si>
    <t>Analítica</t>
  </si>
  <si>
    <t>30–32 SQL; modules/jose</t>
  </si>
  <si>
    <t>JoseAnaliticaTests; analitica.test</t>
  </si>
  <si>
    <t>SQL y autorización documentadas</t>
  </si>
  <si>
    <t>RF-21</t>
  </si>
  <si>
    <t>Auditoría acceso/DML</t>
  </si>
  <si>
    <t>Auditoría</t>
  </si>
  <si>
    <t>07/08/19/21 SQL; auditoriaService</t>
  </si>
  <si>
    <t>AuditTests; informes de estabilización</t>
  </si>
  <si>
    <t>SQL y regresión documentadas</t>
  </si>
  <si>
    <t>RF-22</t>
  </si>
  <si>
    <t>Fechas de Guatemala</t>
  </si>
  <si>
    <t>Común</t>
  </si>
  <si>
    <t>operationalDates.js; partial date</t>
  </si>
  <si>
    <t>operational-dates.test.js; TZ alterna</t>
  </si>
  <si>
    <t>Pruebas de zona/medianoche</t>
  </si>
  <si>
    <t>RF-23</t>
  </si>
  <si>
    <t>Mínimo privilegio SQL</t>
  </si>
  <si>
    <t>Seguridad SQL</t>
  </si>
  <si>
    <t>10_AppPermissions.sql; 20/26/32/36</t>
  </si>
  <si>
    <t>SecurityTests; módulos</t>
  </si>
  <si>
    <t>SQL descrita; roles heredados requieren revisión DBA</t>
  </si>
  <si>
    <t>RF-24</t>
  </si>
  <si>
    <t>Backup y recuperación segura</t>
  </si>
  <si>
    <t>Operación</t>
  </si>
  <si>
    <t>README; ejecutores Deploy</t>
  </si>
  <si>
    <t>VERIFYONLY/restore/CHECKDB descritos</t>
  </si>
  <si>
    <t>No cubre DR integral</t>
  </si>
  <si>
    <t>RF-25</t>
  </si>
  <si>
    <t>SAT/FEL</t>
  </si>
  <si>
    <t>No implementado</t>
  </si>
  <si>
    <t>Sin prueba</t>
  </si>
  <si>
    <t>Comprobante interno, no certificado</t>
  </si>
  <si>
    <t>Pendiente</t>
  </si>
  <si>
    <t>RF-26</t>
  </si>
  <si>
    <t>Pago bancario/reembolso integrado</t>
  </si>
  <si>
    <t>Solo referencia de reembolso externo</t>
  </si>
  <si>
    <t>MATRIZ DE REQUISITOS · SECUREFINANCE ERP</t>
  </si>
  <si>
    <t>Casos</t>
  </si>
  <si>
    <t>Porcentaje</t>
  </si>
  <si>
    <t>Total</t>
  </si>
  <si>
    <t>Corte</t>
  </si>
  <si>
    <t>feature/estabilizacion-funcional-erp · 224164a · 29/10/2026</t>
  </si>
  <si>
    <t>Pendiente crítico</t>
  </si>
  <si>
    <t>Login manual real; fixture QA no es autenticación productiva.</t>
  </si>
  <si>
    <t>Uso</t>
  </si>
  <si>
    <t>Actualizar estado tras revisar la ejecución asociada.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</si>
</sst>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7324D"/>
      <name val="Calibri"/>
    </font>
    <font>
      <b/>
      <sz val="11"/>
      <name val="Calibri"/>
    </font>
    <font>
      <b/>
      <sz val="15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FF4D6"/>
      </patternFill>
    </fill>
    <fill>
      <patternFill patternType="solid">
        <fgColor rgb="FFE8F5E9"/>
      </patternFill>
    </fill>
    <fill>
      <patternFill patternType="solid">
        <fgColor rgb="FFFCE8E6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1" fillId="6" borderId="0" xfId="0" applyFont="1" applyFill="1" applyAlignment="1">
      <alignment vertical="top" wrapText="1"/>
    </xf>
    <xf numFmtId="9" fontId="0" fillId="0" borderId="0" xfId="0" applyNumberFormat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trizRequisitos" displayName="MatrizRequisitos" ref="A1:I27">
  <autoFilter ref="A1:I27" xr:uid="{00000000-0009-0000-0100-000001000000}"/>
  <tableColumns count="9">
    <tableColumn id="1" xr3:uid="{00000000-0010-0000-0000-000001000000}" name="ID"/>
    <tableColumn id="2" xr3:uid="{00000000-0010-0000-0000-000002000000}" name="Requisito / descripción"/>
    <tableColumn id="3" xr3:uid="{00000000-0010-0000-0000-000003000000}" name="Módulo"/>
    <tableColumn id="4" xr3:uid="{00000000-0010-0000-0000-000004000000}" name="Archivos/procedimientos"/>
    <tableColumn id="5" xr3:uid="{00000000-0010-0000-0000-000005000000}" name="Evidencia"/>
    <tableColumn id="6" xr3:uid="{00000000-0010-0000-0000-000006000000}" name="Caso asociado"/>
    <tableColumn id="7" xr3:uid="{00000000-0010-0000-0000-000007000000}" name="Tipo de prueba"/>
    <tableColumn id="8" xr3:uid="{00000000-0010-0000-0000-000008000000}" name="Resultado observado"/>
    <tableColumn id="9" xr3:uid="{00000000-0010-0000-0000-000009000000}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zoomScale="79" workbookViewId="0">
      <pane ySplit="1" topLeftCell="A2" activePane="bottomLeft" state="frozen"/>
      <selection pane="bottomLeft" activeCell="B27" sqref="B27"/>
    </sheetView>
  </sheetViews>
  <sheetFormatPr baseColWidth="10" defaultColWidth="9.140625" defaultRowHeight="15" x14ac:dyDescent="0.25"/>
  <cols>
    <col min="1" max="1" width="12" customWidth="1"/>
    <col min="2" max="2" width="36" customWidth="1"/>
    <col min="3" max="3" width="20" customWidth="1"/>
    <col min="4" max="4" width="48" customWidth="1"/>
    <col min="5" max="6" width="40" customWidth="1"/>
    <col min="7" max="7" width="27" customWidth="1"/>
    <col min="8" max="8" width="48" customWidth="1"/>
    <col min="9" max="9" width="20" customWidth="1"/>
  </cols>
  <sheetData>
    <row r="1" spans="1:9" ht="33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.95" customHeight="1" x14ac:dyDescent="0.25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13</v>
      </c>
      <c r="G2" s="3" t="s">
        <v>14</v>
      </c>
      <c r="H2" s="3" t="s">
        <v>15</v>
      </c>
      <c r="I2" s="4" t="s">
        <v>16</v>
      </c>
    </row>
    <row r="3" spans="1:9" ht="42.95" customHeight="1" x14ac:dyDescent="0.25">
      <c r="A3" s="2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21</v>
      </c>
      <c r="G3" s="3" t="s">
        <v>14</v>
      </c>
      <c r="H3" s="3" t="s">
        <v>22</v>
      </c>
      <c r="I3" s="4" t="s">
        <v>16</v>
      </c>
    </row>
    <row r="4" spans="1:9" ht="42.95" customHeight="1" x14ac:dyDescent="0.25">
      <c r="A4" s="2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27</v>
      </c>
      <c r="G4" s="3" t="s">
        <v>14</v>
      </c>
      <c r="H4" s="3" t="s">
        <v>28</v>
      </c>
      <c r="I4" s="5" t="s">
        <v>29</v>
      </c>
    </row>
    <row r="5" spans="1:9" ht="42.95" customHeight="1" x14ac:dyDescent="0.25">
      <c r="A5" s="2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34</v>
      </c>
      <c r="G5" s="3" t="s">
        <v>14</v>
      </c>
      <c r="H5" s="3" t="s">
        <v>35</v>
      </c>
      <c r="I5" s="4" t="s">
        <v>16</v>
      </c>
    </row>
    <row r="6" spans="1:9" ht="42.95" customHeight="1" x14ac:dyDescent="0.25">
      <c r="A6" s="2" t="s">
        <v>36</v>
      </c>
      <c r="B6" s="3" t="s">
        <v>37</v>
      </c>
      <c r="C6" s="3" t="s">
        <v>38</v>
      </c>
      <c r="D6" s="3" t="s">
        <v>39</v>
      </c>
      <c r="E6" s="3" t="s">
        <v>40</v>
      </c>
      <c r="F6" s="3" t="s">
        <v>40</v>
      </c>
      <c r="G6" s="3" t="s">
        <v>14</v>
      </c>
      <c r="H6" s="3" t="s">
        <v>41</v>
      </c>
      <c r="I6" s="4" t="s">
        <v>16</v>
      </c>
    </row>
    <row r="7" spans="1:9" ht="42.95" customHeight="1" x14ac:dyDescent="0.25">
      <c r="A7" s="2" t="s">
        <v>42</v>
      </c>
      <c r="B7" s="3" t="s">
        <v>43</v>
      </c>
      <c r="C7" s="3" t="s">
        <v>44</v>
      </c>
      <c r="D7" s="3" t="s">
        <v>45</v>
      </c>
      <c r="E7" s="3" t="s">
        <v>46</v>
      </c>
      <c r="F7" s="3" t="s">
        <v>46</v>
      </c>
      <c r="G7" s="3" t="s">
        <v>14</v>
      </c>
      <c r="H7" s="3" t="s">
        <v>47</v>
      </c>
      <c r="I7" s="5" t="s">
        <v>29</v>
      </c>
    </row>
    <row r="8" spans="1:9" ht="42.95" customHeight="1" x14ac:dyDescent="0.25">
      <c r="A8" s="2" t="s">
        <v>48</v>
      </c>
      <c r="B8" s="3" t="s">
        <v>49</v>
      </c>
      <c r="C8" s="3" t="s">
        <v>44</v>
      </c>
      <c r="D8" s="3" t="s">
        <v>50</v>
      </c>
      <c r="E8" s="3" t="s">
        <v>51</v>
      </c>
      <c r="F8" s="3" t="s">
        <v>51</v>
      </c>
      <c r="G8" s="3" t="s">
        <v>14</v>
      </c>
      <c r="H8" s="3" t="s">
        <v>52</v>
      </c>
      <c r="I8" s="5" t="s">
        <v>29</v>
      </c>
    </row>
    <row r="9" spans="1:9" ht="42.95" customHeight="1" x14ac:dyDescent="0.25">
      <c r="A9" s="2" t="s">
        <v>53</v>
      </c>
      <c r="B9" s="3" t="s">
        <v>54</v>
      </c>
      <c r="C9" s="3" t="s">
        <v>44</v>
      </c>
      <c r="D9" s="3" t="s">
        <v>55</v>
      </c>
      <c r="E9" s="3" t="s">
        <v>56</v>
      </c>
      <c r="F9" s="3" t="s">
        <v>56</v>
      </c>
      <c r="G9" s="3" t="s">
        <v>14</v>
      </c>
      <c r="H9" s="3" t="s">
        <v>57</v>
      </c>
      <c r="I9" s="5" t="s">
        <v>29</v>
      </c>
    </row>
    <row r="10" spans="1:9" ht="42.95" customHeight="1" x14ac:dyDescent="0.25">
      <c r="A10" s="2" t="s">
        <v>58</v>
      </c>
      <c r="B10" s="3" t="s">
        <v>59</v>
      </c>
      <c r="C10" s="3" t="s">
        <v>60</v>
      </c>
      <c r="D10" s="3" t="s">
        <v>61</v>
      </c>
      <c r="E10" s="3" t="s">
        <v>62</v>
      </c>
      <c r="F10" s="3" t="s">
        <v>62</v>
      </c>
      <c r="G10" s="3" t="s">
        <v>14</v>
      </c>
      <c r="H10" s="3" t="s">
        <v>63</v>
      </c>
      <c r="I10" s="5" t="s">
        <v>29</v>
      </c>
    </row>
    <row r="11" spans="1:9" ht="42.95" customHeight="1" x14ac:dyDescent="0.25">
      <c r="A11" s="2" t="s">
        <v>64</v>
      </c>
      <c r="B11" s="3" t="s">
        <v>65</v>
      </c>
      <c r="C11" s="3" t="s">
        <v>66</v>
      </c>
      <c r="D11" s="3" t="s">
        <v>67</v>
      </c>
      <c r="E11" s="3" t="s">
        <v>68</v>
      </c>
      <c r="F11" s="3" t="s">
        <v>68</v>
      </c>
      <c r="G11" s="3" t="s">
        <v>14</v>
      </c>
      <c r="H11" s="3" t="s">
        <v>69</v>
      </c>
      <c r="I11" s="5" t="s">
        <v>29</v>
      </c>
    </row>
    <row r="12" spans="1:9" ht="42.95" customHeight="1" x14ac:dyDescent="0.25">
      <c r="A12" s="2" t="s">
        <v>70</v>
      </c>
      <c r="B12" s="3" t="s">
        <v>71</v>
      </c>
      <c r="C12" s="3" t="s">
        <v>72</v>
      </c>
      <c r="D12" s="3" t="s">
        <v>73</v>
      </c>
      <c r="E12" s="3" t="s">
        <v>74</v>
      </c>
      <c r="F12" s="3" t="s">
        <v>74</v>
      </c>
      <c r="G12" s="3" t="s">
        <v>14</v>
      </c>
      <c r="H12" s="3" t="s">
        <v>75</v>
      </c>
      <c r="I12" s="5" t="s">
        <v>29</v>
      </c>
    </row>
    <row r="13" spans="1:9" ht="42.95" customHeight="1" x14ac:dyDescent="0.25">
      <c r="A13" s="2" t="s">
        <v>76</v>
      </c>
      <c r="B13" s="3" t="s">
        <v>77</v>
      </c>
      <c r="C13" s="3" t="s">
        <v>78</v>
      </c>
      <c r="D13" s="3" t="s">
        <v>79</v>
      </c>
      <c r="E13" s="3" t="s">
        <v>80</v>
      </c>
      <c r="F13" s="3" t="s">
        <v>80</v>
      </c>
      <c r="G13" s="3" t="s">
        <v>14</v>
      </c>
      <c r="H13" s="3" t="s">
        <v>47</v>
      </c>
      <c r="I13" s="5" t="s">
        <v>29</v>
      </c>
    </row>
    <row r="14" spans="1:9" ht="42.95" customHeight="1" x14ac:dyDescent="0.25">
      <c r="A14" s="2" t="s">
        <v>81</v>
      </c>
      <c r="B14" s="3" t="s">
        <v>82</v>
      </c>
      <c r="C14" s="3" t="s">
        <v>83</v>
      </c>
      <c r="D14" s="3" t="s">
        <v>84</v>
      </c>
      <c r="E14" s="3" t="s">
        <v>85</v>
      </c>
      <c r="F14" s="3" t="s">
        <v>85</v>
      </c>
      <c r="G14" s="3" t="s">
        <v>14</v>
      </c>
      <c r="H14" s="3" t="s">
        <v>86</v>
      </c>
      <c r="I14" s="5" t="s">
        <v>29</v>
      </c>
    </row>
    <row r="15" spans="1:9" ht="42.95" customHeight="1" x14ac:dyDescent="0.25">
      <c r="A15" s="2" t="s">
        <v>87</v>
      </c>
      <c r="B15" s="3" t="s">
        <v>88</v>
      </c>
      <c r="C15" s="3" t="s">
        <v>89</v>
      </c>
      <c r="D15" s="3" t="s">
        <v>90</v>
      </c>
      <c r="E15" s="3" t="s">
        <v>91</v>
      </c>
      <c r="F15" s="3" t="s">
        <v>91</v>
      </c>
      <c r="G15" s="3" t="s">
        <v>14</v>
      </c>
      <c r="H15" s="3" t="s">
        <v>92</v>
      </c>
      <c r="I15" s="4" t="s">
        <v>16</v>
      </c>
    </row>
    <row r="16" spans="1:9" ht="42.95" customHeight="1" x14ac:dyDescent="0.25">
      <c r="A16" s="2" t="s">
        <v>93</v>
      </c>
      <c r="B16" s="3" t="s">
        <v>94</v>
      </c>
      <c r="C16" s="3" t="s">
        <v>89</v>
      </c>
      <c r="D16" s="3" t="s">
        <v>95</v>
      </c>
      <c r="E16" s="3" t="s">
        <v>96</v>
      </c>
      <c r="F16" s="3" t="s">
        <v>96</v>
      </c>
      <c r="G16" s="3" t="s">
        <v>14</v>
      </c>
      <c r="H16" s="3" t="s">
        <v>97</v>
      </c>
      <c r="I16" s="5" t="s">
        <v>29</v>
      </c>
    </row>
    <row r="17" spans="1:9" ht="42.95" customHeight="1" x14ac:dyDescent="0.25">
      <c r="A17" s="2" t="s">
        <v>98</v>
      </c>
      <c r="B17" s="3" t="s">
        <v>99</v>
      </c>
      <c r="C17" s="3" t="s">
        <v>89</v>
      </c>
      <c r="D17" s="3" t="s">
        <v>100</v>
      </c>
      <c r="E17" s="3" t="s">
        <v>101</v>
      </c>
      <c r="F17" s="3" t="s">
        <v>101</v>
      </c>
      <c r="G17" s="3" t="s">
        <v>14</v>
      </c>
      <c r="H17" s="3" t="s">
        <v>102</v>
      </c>
      <c r="I17" s="5" t="s">
        <v>29</v>
      </c>
    </row>
    <row r="18" spans="1:9" ht="42.95" customHeight="1" x14ac:dyDescent="0.25">
      <c r="A18" s="2" t="s">
        <v>103</v>
      </c>
      <c r="B18" s="3" t="s">
        <v>104</v>
      </c>
      <c r="C18" s="3" t="s">
        <v>105</v>
      </c>
      <c r="D18" s="3" t="s">
        <v>106</v>
      </c>
      <c r="E18" s="3" t="s">
        <v>107</v>
      </c>
      <c r="F18" s="3" t="s">
        <v>107</v>
      </c>
      <c r="G18" s="3" t="s">
        <v>14</v>
      </c>
      <c r="H18" s="3" t="s">
        <v>108</v>
      </c>
      <c r="I18" s="4" t="s">
        <v>16</v>
      </c>
    </row>
    <row r="19" spans="1:9" ht="42.95" customHeight="1" x14ac:dyDescent="0.25">
      <c r="A19" s="2" t="s">
        <v>109</v>
      </c>
      <c r="B19" s="3" t="s">
        <v>110</v>
      </c>
      <c r="C19" s="3" t="s">
        <v>111</v>
      </c>
      <c r="D19" s="3" t="s">
        <v>112</v>
      </c>
      <c r="E19" s="3" t="s">
        <v>113</v>
      </c>
      <c r="F19" s="3" t="s">
        <v>113</v>
      </c>
      <c r="G19" s="3" t="s">
        <v>14</v>
      </c>
      <c r="H19" s="3" t="s">
        <v>114</v>
      </c>
      <c r="I19" s="4" t="s">
        <v>16</v>
      </c>
    </row>
    <row r="20" spans="1:9" ht="42.95" customHeight="1" x14ac:dyDescent="0.25">
      <c r="A20" s="2" t="s">
        <v>115</v>
      </c>
      <c r="B20" s="3" t="s">
        <v>116</v>
      </c>
      <c r="C20" s="3" t="s">
        <v>117</v>
      </c>
      <c r="D20" s="3" t="s">
        <v>118</v>
      </c>
      <c r="E20" s="3" t="s">
        <v>119</v>
      </c>
      <c r="F20" s="3" t="s">
        <v>119</v>
      </c>
      <c r="G20" s="3" t="s">
        <v>14</v>
      </c>
      <c r="H20" s="3" t="s">
        <v>120</v>
      </c>
      <c r="I20" s="4" t="s">
        <v>16</v>
      </c>
    </row>
    <row r="21" spans="1:9" ht="42.95" customHeight="1" x14ac:dyDescent="0.25">
      <c r="A21" s="2" t="s">
        <v>121</v>
      </c>
      <c r="B21" s="3" t="s">
        <v>122</v>
      </c>
      <c r="C21" s="3" t="s">
        <v>123</v>
      </c>
      <c r="D21" s="3" t="s">
        <v>124</v>
      </c>
      <c r="E21" s="3" t="s">
        <v>125</v>
      </c>
      <c r="F21" s="3" t="s">
        <v>125</v>
      </c>
      <c r="G21" s="3" t="s">
        <v>14</v>
      </c>
      <c r="H21" s="3" t="s">
        <v>126</v>
      </c>
      <c r="I21" s="5" t="s">
        <v>29</v>
      </c>
    </row>
    <row r="22" spans="1:9" ht="42.95" customHeight="1" x14ac:dyDescent="0.25">
      <c r="A22" s="2" t="s">
        <v>127</v>
      </c>
      <c r="B22" s="3" t="s">
        <v>128</v>
      </c>
      <c r="C22" s="3" t="s">
        <v>129</v>
      </c>
      <c r="D22" s="3" t="s">
        <v>130</v>
      </c>
      <c r="E22" s="3" t="s">
        <v>131</v>
      </c>
      <c r="F22" s="3" t="s">
        <v>131</v>
      </c>
      <c r="G22" s="3" t="s">
        <v>14</v>
      </c>
      <c r="H22" s="3" t="s">
        <v>132</v>
      </c>
      <c r="I22" s="5" t="s">
        <v>29</v>
      </c>
    </row>
    <row r="23" spans="1:9" ht="42.95" customHeight="1" x14ac:dyDescent="0.25">
      <c r="A23" s="2" t="s">
        <v>133</v>
      </c>
      <c r="B23" s="3" t="s">
        <v>134</v>
      </c>
      <c r="C23" s="3" t="s">
        <v>135</v>
      </c>
      <c r="D23" s="3" t="s">
        <v>136</v>
      </c>
      <c r="E23" s="3" t="s">
        <v>137</v>
      </c>
      <c r="F23" s="3" t="s">
        <v>137</v>
      </c>
      <c r="G23" s="3" t="s">
        <v>14</v>
      </c>
      <c r="H23" s="3" t="s">
        <v>138</v>
      </c>
      <c r="I23" s="5" t="s">
        <v>29</v>
      </c>
    </row>
    <row r="24" spans="1:9" ht="42.95" customHeight="1" x14ac:dyDescent="0.25">
      <c r="A24" s="2" t="s">
        <v>139</v>
      </c>
      <c r="B24" s="3" t="s">
        <v>140</v>
      </c>
      <c r="C24" s="3" t="s">
        <v>141</v>
      </c>
      <c r="D24" s="3" t="s">
        <v>142</v>
      </c>
      <c r="E24" s="3" t="s">
        <v>143</v>
      </c>
      <c r="F24" s="3" t="s">
        <v>143</v>
      </c>
      <c r="G24" s="3" t="s">
        <v>14</v>
      </c>
      <c r="H24" s="3" t="s">
        <v>144</v>
      </c>
      <c r="I24" s="4" t="s">
        <v>16</v>
      </c>
    </row>
    <row r="25" spans="1:9" ht="42.95" customHeight="1" x14ac:dyDescent="0.25">
      <c r="A25" s="2" t="s">
        <v>145</v>
      </c>
      <c r="B25" s="3" t="s">
        <v>146</v>
      </c>
      <c r="C25" s="3" t="s">
        <v>147</v>
      </c>
      <c r="D25" s="3" t="s">
        <v>148</v>
      </c>
      <c r="E25" s="3" t="s">
        <v>149</v>
      </c>
      <c r="F25" s="3" t="s">
        <v>149</v>
      </c>
      <c r="G25" s="3" t="s">
        <v>14</v>
      </c>
      <c r="H25" s="3" t="s">
        <v>150</v>
      </c>
      <c r="I25" s="4" t="s">
        <v>16</v>
      </c>
    </row>
    <row r="26" spans="1:9" ht="42.95" customHeight="1" x14ac:dyDescent="0.25">
      <c r="A26" s="2" t="s">
        <v>151</v>
      </c>
      <c r="B26" s="3" t="s">
        <v>152</v>
      </c>
      <c r="C26" s="3" t="s">
        <v>60</v>
      </c>
      <c r="D26" s="3" t="s">
        <v>153</v>
      </c>
      <c r="E26" s="3" t="s">
        <v>154</v>
      </c>
      <c r="F26" s="3" t="s">
        <v>154</v>
      </c>
      <c r="G26" s="3" t="s">
        <v>14</v>
      </c>
      <c r="H26" s="3" t="s">
        <v>155</v>
      </c>
      <c r="I26" s="6" t="s">
        <v>156</v>
      </c>
    </row>
    <row r="27" spans="1:9" ht="42.95" customHeight="1" x14ac:dyDescent="0.25">
      <c r="A27" s="2" t="s">
        <v>157</v>
      </c>
      <c r="B27" s="3" t="s">
        <v>158</v>
      </c>
      <c r="C27" s="3" t="s">
        <v>111</v>
      </c>
      <c r="D27" s="3" t="s">
        <v>153</v>
      </c>
      <c r="E27" s="3" t="s">
        <v>154</v>
      </c>
      <c r="F27" s="3" t="s">
        <v>154</v>
      </c>
      <c r="G27" s="3" t="s">
        <v>14</v>
      </c>
      <c r="H27" s="3" t="s">
        <v>159</v>
      </c>
      <c r="I27" s="6" t="s">
        <v>156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60" customWidth="1"/>
    <col min="3" max="3" width="20" customWidth="1"/>
  </cols>
  <sheetData>
    <row r="1" spans="1:3" x14ac:dyDescent="0.25">
      <c r="A1" s="9" t="s">
        <v>160</v>
      </c>
      <c r="B1" s="10"/>
      <c r="C1" s="10"/>
    </row>
    <row r="2" spans="1:3" x14ac:dyDescent="0.25">
      <c r="A2" s="3"/>
      <c r="B2" s="3"/>
      <c r="C2" s="3"/>
    </row>
    <row r="3" spans="1:3" x14ac:dyDescent="0.25">
      <c r="A3" s="7" t="s">
        <v>8</v>
      </c>
      <c r="B3" s="7" t="s">
        <v>161</v>
      </c>
      <c r="C3" s="7" t="s">
        <v>162</v>
      </c>
    </row>
    <row r="4" spans="1:3" x14ac:dyDescent="0.25">
      <c r="A4" s="3" t="s">
        <v>29</v>
      </c>
      <c r="B4" s="3">
        <f>COUNTIF(Matriz!$I$2:$I$27,A4)</f>
        <v>14</v>
      </c>
      <c r="C4" s="8">
        <f>B4/$B$8</f>
        <v>0.53846153846153844</v>
      </c>
    </row>
    <row r="5" spans="1:3" x14ac:dyDescent="0.25">
      <c r="A5" s="3" t="s">
        <v>16</v>
      </c>
      <c r="B5" s="3">
        <f>COUNTIF(Matriz!$I$2:$I$27,A5)</f>
        <v>10</v>
      </c>
      <c r="C5" s="8">
        <f>B5/$B$8</f>
        <v>0.38461538461538464</v>
      </c>
    </row>
    <row r="6" spans="1:3" x14ac:dyDescent="0.25">
      <c r="A6" s="3" t="s">
        <v>156</v>
      </c>
      <c r="B6" s="3">
        <f>COUNTIF(Matriz!$I$2:$I$27,A6)</f>
        <v>2</v>
      </c>
      <c r="C6" s="8">
        <f>B6/$B$8</f>
        <v>7.6923076923076927E-2</v>
      </c>
    </row>
    <row r="7" spans="1:3" x14ac:dyDescent="0.25">
      <c r="A7" s="3"/>
      <c r="B7" s="3"/>
      <c r="C7" s="3"/>
    </row>
    <row r="8" spans="1:3" x14ac:dyDescent="0.25">
      <c r="A8" s="3" t="s">
        <v>163</v>
      </c>
      <c r="B8" s="3">
        <f>COUNTA(Matriz!$A$2:$A$27)</f>
        <v>26</v>
      </c>
      <c r="C8" s="3"/>
    </row>
    <row r="9" spans="1:3" x14ac:dyDescent="0.25">
      <c r="A9" s="3"/>
      <c r="B9" s="3"/>
      <c r="C9" s="3"/>
    </row>
    <row r="10" spans="1:3" x14ac:dyDescent="0.25">
      <c r="A10" s="3" t="s">
        <v>164</v>
      </c>
      <c r="B10" s="3" t="s">
        <v>165</v>
      </c>
      <c r="C10" s="3"/>
    </row>
    <row r="11" spans="1:3" x14ac:dyDescent="0.25">
      <c r="A11" s="3" t="s">
        <v>166</v>
      </c>
      <c r="B11" s="11" t="s">
        <v>167</v>
      </c>
      <c r="C11" s="10"/>
    </row>
    <row r="12" spans="1:3" x14ac:dyDescent="0.25">
      <c r="A12" s="3" t="s">
        <v>168</v>
      </c>
      <c r="B12" s="11" t="s">
        <v>169</v>
      </c>
      <c r="C12" s="10"/>
    </row>
  </sheetData>
  <mergeCells count="3">
    <mergeCell ref="A1:C1"/>
    <mergeCell ref="B11:C11"/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ruben herrera</cp:lastModifiedBy>
  <dcterms:modified xsi:type="dcterms:W3CDTF">2026-10-30T06:24:48Z</dcterms:modified>
</cp:coreProperties>
</file>