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 de Pruebas" sheetId="1" state="visible" r:id="rId3"/>
    <sheet name="Resumen" sheetId="2" state="visible" r:id="rId4"/>
  </sheets>
  <definedNames>
    <definedName function="false" hidden="true" localSheetId="0" name="_xlnm._FilterDatabase" vbProcedure="false">'Matriz de Pruebas'!$A$1:$I$25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<sst xmlns="http://schemas.openxmlformats.org/spreadsheetml/2006/main" count="234" uniqueCount="177">
  <si>
    <t xml:space="preserve">ID</t>
  </si>
  <si>
    <t xml:space="preserve">Módulo</t>
  </si>
  <si>
    <t xml:space="preserve">Prueba</t>
  </si>
  <si>
    <t xml:space="preserve">Precondición</t>
  </si>
  <si>
    <t xml:space="preserve">Entrada</t>
  </si>
  <si>
    <t xml:space="preserve">Resultado esperado</t>
  </si>
  <si>
    <t xml:space="preserve">Resultado obtenido</t>
  </si>
  <si>
    <t xml:space="preserve">Estado</t>
  </si>
  <si>
    <t xml:space="preserve">Evidencia</t>
  </si>
  <si>
    <t xml:space="preserve">TC-01</t>
  </si>
  <si>
    <t xml:space="preserve">Autenticación</t>
  </si>
  <si>
    <t xml:space="preserve">Login correcto</t>
  </si>
  <si>
    <t xml:space="preserve">Usuario admin_demo activo con contraseña conocida</t>
  </si>
  <si>
    <t xml:space="preserve">NombreUsuario y contraseña correctos vía POST /login</t>
  </si>
  <si>
    <t xml:space="preserve">sp_Login retorna código 0 (EXITOSO); se crea sesión y redirige a /dashboard</t>
  </si>
  <si>
    <t xml:space="preserve">Verificado por revisión de sp_Login y por tests/auth.test.js (mock). Pendiente contra SQL Server real.</t>
  </si>
  <si>
    <t xml:space="preserve">VALIDADO</t>
  </si>
  <si>
    <t xml:space="preserve">Captura APP #1 / SQL #14</t>
  </si>
  <si>
    <t xml:space="preserve">TC-02</t>
  </si>
  <si>
    <t xml:space="preserve">Password incorrecta</t>
  </si>
  <si>
    <t xml:space="preserve">Usuario existente y activo</t>
  </si>
  <si>
    <t xml:space="preserve">Contraseña incorrecta vía POST /login</t>
  </si>
  <si>
    <t xml:space="preserve">sp_Login retorna código 3 (PASSWORD_INCORRECTA); se registra intento en Bitacora_Acceso; no se crea sesión</t>
  </si>
  <si>
    <t xml:space="preserve">Validado por tests/auth.test.js (mock de sp_Login)</t>
  </si>
  <si>
    <t xml:space="preserve">Captura APP #1</t>
  </si>
  <si>
    <t xml:space="preserve">TC-03</t>
  </si>
  <si>
    <t xml:space="preserve">Usuario inexistente</t>
  </si>
  <si>
    <t xml:space="preserve">Ninguna</t>
  </si>
  <si>
    <t xml:space="preserve">NombreUsuario que no existe en la tabla Usuario</t>
  </si>
  <si>
    <t xml:space="preserve">sp_Login retorna código 1 (USUARIO_INEXISTENTE); UsuarioId queda NULL en Bitacora_Acceso (forzado por CHECK)</t>
  </si>
  <si>
    <t xml:space="preserve">Validado por tests/auth.test.js (mock)</t>
  </si>
  <si>
    <t xml:space="preserve">TC-04</t>
  </si>
  <si>
    <t xml:space="preserve">Usuario inactivo</t>
  </si>
  <si>
    <t xml:space="preserve">Usuario existente con Activo = 0</t>
  </si>
  <si>
    <t xml:space="preserve">Credenciales válidas de un usuario inactivo</t>
  </si>
  <si>
    <t xml:space="preserve">sp_Login retorna código 2 (USUARIO_INACTIVO); no se crea sesión</t>
  </si>
  <si>
    <t xml:space="preserve">TC-05</t>
  </si>
  <si>
    <t xml:space="preserve">Acceso sin sesión</t>
  </si>
  <si>
    <t xml:space="preserve">Ninguna sesión activa</t>
  </si>
  <si>
    <t xml:space="preserve">GET a una ruta protegida (p. ej. /dashboard) sin cookie de sesión</t>
  </si>
  <si>
    <t xml:space="preserve">Middleware requireAuth redirige a /login</t>
  </si>
  <si>
    <t xml:space="preserve">Validado por tests/venta.test.js y tests/audit.test.js (casos de ruta sin sesión)</t>
  </si>
  <si>
    <t xml:space="preserve">TC-06</t>
  </si>
  <si>
    <t xml:space="preserve">RBAC</t>
  </si>
  <si>
    <t xml:space="preserve">Acceso con permiso</t>
  </si>
  <si>
    <t xml:space="preserve">Sesión activa con permiso VENTAS_REGISTRAR o AUDITORIA_CONSULTAR</t>
  </si>
  <si>
    <t xml:space="preserve">GET /facturacion o GET /auditoria según el permiso</t>
  </si>
  <si>
    <t xml:space="preserve">Respuesta 200 y renderizado de la vista correspondiente</t>
  </si>
  <si>
    <t xml:space="preserve">Validado por tests/venta.test.js y tests/audit.test.js (mock de sesión con permisos)</t>
  </si>
  <si>
    <t xml:space="preserve">Captura APP #2</t>
  </si>
  <si>
    <t xml:space="preserve">TC-07</t>
  </si>
  <si>
    <t xml:space="preserve">Acceso sin permiso</t>
  </si>
  <si>
    <t xml:space="preserve">Sesión activa sin el permiso requerido</t>
  </si>
  <si>
    <t xml:space="preserve">GET /facturacion o GET /auditoria sin el permiso correspondiente</t>
  </si>
  <si>
    <t xml:space="preserve">Respuesta 403 sin ejecutar consulta a SQL Server</t>
  </si>
  <si>
    <t xml:space="preserve">Validado por tests/venta.test.js y tests/audit.test.js (caso 403)</t>
  </si>
  <si>
    <t xml:space="preserve">TC-08</t>
  </si>
  <si>
    <t xml:space="preserve">Ventas</t>
  </si>
  <si>
    <t xml:space="preserve">Venta válida (un producto)</t>
  </si>
  <si>
    <t xml:space="preserve">Cliente y producto activos con stock suficiente</t>
  </si>
  <si>
    <t xml:space="preserve">1 línea de detalle con Cantidad válida</t>
  </si>
  <si>
    <t xml:space="preserve">sp_ProcesarVentaTransaccional inserta Factura, DetalleFactura y MovimientoCaja; responde 201</t>
  </si>
  <si>
    <t xml:space="preserve">Validado por tests/venta.test.js (mock de ventaService)</t>
  </si>
  <si>
    <t xml:space="preserve">Captura APP #5 / SQL #16-19</t>
  </si>
  <si>
    <t xml:space="preserve">TC-09</t>
  </si>
  <si>
    <t xml:space="preserve">Venta multiproducto</t>
  </si>
  <si>
    <t xml:space="preserve">Cliente activo y 2+ productos activos con stock suficiente</t>
  </si>
  <si>
    <t xml:space="preserve">2 teclados USB + 3 mouse óptico (caso Q476.75 / Q57.21 / Q533.96)</t>
  </si>
  <si>
    <t xml:space="preserve">Subtotal, IVA y Total calculados correctamente por SQL Server; factura única con 2 líneas de detalle</t>
  </si>
  <si>
    <t xml:space="preserve">Validado por revisión de fn_CalcularIVA/fn_CalcularSubtotal y por semillas reales de precios en 05_BusinessSeedData.sql</t>
  </si>
  <si>
    <t xml:space="preserve">Captura APP #5 / SQL #16</t>
  </si>
  <si>
    <t xml:space="preserve">TC-10</t>
  </si>
  <si>
    <t xml:space="preserve">Stock insuficiente</t>
  </si>
  <si>
    <t xml:space="preserve">Producto activo con stock menor a la cantidad solicitada</t>
  </si>
  <si>
    <t xml:space="preserve">Cantidad mayor al stock disponible</t>
  </si>
  <si>
    <t xml:space="preserve">Error SQL 52010; ROLLBACK completo; sin factura ni movimiento de caja ni descuento de stock</t>
  </si>
  <si>
    <t xml:space="preserve">Validado por tests/venta.test.js y por database/tests/TransactionTests.sql (pendiente de ejecución contra SQL Server real)</t>
  </si>
  <si>
    <t xml:space="preserve">Captura APP #5 / SQL #23</t>
  </si>
  <si>
    <t xml:space="preserve">TC-11</t>
  </si>
  <si>
    <t xml:space="preserve">Productos duplicados en el detalle</t>
  </si>
  <si>
    <t xml:space="preserve">Detalle con el mismo ProductoId en dos líneas distintas</t>
  </si>
  <si>
    <t xml:space="preserve">ventaController rechaza la solicitud antes de llamar a SQL Server (validación de duplicados)</t>
  </si>
  <si>
    <t xml:space="preserve">Validado por tests/venta.test.js (caso de estructura inválida)</t>
  </si>
  <si>
    <t xml:space="preserve">Captura APP #4</t>
  </si>
  <si>
    <t xml:space="preserve">TC-12</t>
  </si>
  <si>
    <t xml:space="preserve">Cantidad inválida</t>
  </si>
  <si>
    <t xml:space="preserve">Cantidad cero, negativa o no entera</t>
  </si>
  <si>
    <t xml:space="preserve">ventaController rechaza la solicitud (enteros positivos requeridos)</t>
  </si>
  <si>
    <t xml:space="preserve">TC-13</t>
  </si>
  <si>
    <t xml:space="preserve">ACID</t>
  </si>
  <si>
    <t xml:space="preserve">Rollback por stock insuficiente en venta multiproducto</t>
  </si>
  <si>
    <t xml:space="preserve">2+ líneas, una con stock insuficiente</t>
  </si>
  <si>
    <t xml:space="preserve">Venta con una línea válida y una línea sin stock suficiente</t>
  </si>
  <si>
    <t xml:space="preserve">Ninguna línea se aplica: no hay factura parcial, detalle parcial ni descuento de stock parcial</t>
  </si>
  <si>
    <t xml:space="preserve">Validado por tests/venta.test.js; pendiente confirmación en database/tests/TransactionTests.sql contra SQL Server real</t>
  </si>
  <si>
    <t xml:space="preserve">Captura SQL #23</t>
  </si>
  <si>
    <t xml:space="preserve">TC-14</t>
  </si>
  <si>
    <t xml:space="preserve">Auditoría</t>
  </si>
  <si>
    <t xml:space="preserve">Registro de acceso</t>
  </si>
  <si>
    <t xml:space="preserve">Cualquier intento de login (exitoso o fallido)</t>
  </si>
  <si>
    <t xml:space="preserve">Se inserta una fila en Bitacora_Acceso con Resultado, FechaHora y metadatos de conexión</t>
  </si>
  <si>
    <t xml:space="preserve">Validado por revisión de sp_RegistrarAcceso; pendiente evidencia visual contra SQL Server real</t>
  </si>
  <si>
    <t xml:space="preserve">PENDIENTE</t>
  </si>
  <si>
    <t xml:space="preserve">Captura SQL #14 / APP #7</t>
  </si>
  <si>
    <t xml:space="preserve">TC-15</t>
  </si>
  <si>
    <t xml:space="preserve">Producto UPDATE (cambio de precio/stock)</t>
  </si>
  <si>
    <t xml:space="preserve">Producto existente</t>
  </si>
  <si>
    <t xml:space="preserve">UPDATE de Precio o Stock sobre un producto</t>
  </si>
  <si>
    <t xml:space="preserve">tr_Producto_Auditar_Update inserta en Bitacora_Transacciones con ValorAnterior y ValorNuevo en JSON</t>
  </si>
  <si>
    <t xml:space="preserve">Validado por revisión de tr_Producto_Auditar_Update; pendiente ejecución de AuditTests.sql</t>
  </si>
  <si>
    <t xml:space="preserve">Captura SQL #21</t>
  </si>
  <si>
    <t xml:space="preserve">TC-16</t>
  </si>
  <si>
    <t xml:space="preserve">Factura INSERT</t>
  </si>
  <si>
    <t xml:space="preserve">Emisión de una factura vía sp_ProcesarVentaTransaccional</t>
  </si>
  <si>
    <t xml:space="preserve">tr_Factura_Auditar_Insert inserta en Bitacora_Transacciones con ValorNuevo en JSON y ValorAnterior NULL</t>
  </si>
  <si>
    <t xml:space="preserve">Validado por revisión de tr_Factura_Auditar_Insert; pendiente ejecución de AuditTests.sql</t>
  </si>
  <si>
    <t xml:space="preserve">TC-17</t>
  </si>
  <si>
    <t xml:space="preserve">Histórico de ventas con filtros</t>
  </si>
  <si>
    <t xml:space="preserve">Al menos una factura emitida</t>
  </si>
  <si>
    <t xml:space="preserve">Consulta con filtro de fecha y/o nombre de cliente</t>
  </si>
  <si>
    <t xml:space="preserve">fn_ObtenerHistoricoVentas / sp_ConsultarHistoricoVentas retornan solo las ventas que cumplen el filtro, ordenadas por fecha descendente</t>
  </si>
  <si>
    <t xml:space="preserve">Validado por revisión de código; pendiente evidencia visual contra SQL Server real</t>
  </si>
  <si>
    <t xml:space="preserve">Captura APP #9 / SQL #22</t>
  </si>
  <si>
    <t xml:space="preserve">TC-18</t>
  </si>
  <si>
    <t xml:space="preserve">Seguridad SQL</t>
  </si>
  <si>
    <t xml:space="preserve">EXECUTE permitido a securefinance_app</t>
  </si>
  <si>
    <t xml:space="preserve">Login securefinance_app configurado según 10_AppPermissions.sql</t>
  </si>
  <si>
    <t xml:space="preserve">EXECUTE sp_Login, sp_ProcesarVentaTransaccional, etc. con la cuenta de aplicación</t>
  </si>
  <si>
    <t xml:space="preserve">La ejecución se completa correctamente (permiso concedido explícitamente)</t>
  </si>
  <si>
    <t xml:space="preserve">Verificado por revisión de database/10_AppPermissions.sql; pendiente prueba en vivo con la cuenta real</t>
  </si>
  <si>
    <t xml:space="preserve">Captura SQL #15 / #24</t>
  </si>
  <si>
    <t xml:space="preserve">TC-19</t>
  </si>
  <si>
    <t xml:space="preserve">SELECT directo denegado</t>
  </si>
  <si>
    <t xml:space="preserve">SELECT * FROM dbo.Usuario (u otra tabla) con la cuenta de aplicación</t>
  </si>
  <si>
    <t xml:space="preserve">SQL Server deniega el permiso (la cuenta no tiene SELECT directo sobre tablas)</t>
  </si>
  <si>
    <t xml:space="preserve">Verificado por revisión de database/10_AppPermissions.sql (no se otorga SELECT); pendiente prueba en vivo</t>
  </si>
  <si>
    <t xml:space="preserve">Captura SQL #24</t>
  </si>
  <si>
    <t xml:space="preserve">TC-20</t>
  </si>
  <si>
    <t xml:space="preserve">Calidad / Node</t>
  </si>
  <si>
    <t xml:space="preserve">npm run check</t>
  </si>
  <si>
    <t xml:space="preserve">Dependencias instaladas (npm ci)</t>
  </si>
  <si>
    <t xml:space="preserve">Ejecutar npm run check</t>
  </si>
  <si>
    <t xml:space="preserve">Sin errores de sintaxis en los archivos verificados</t>
  </si>
  <si>
    <t xml:space="preserve">EJECUTADO REALMENTE en esta documentación: sin errores</t>
  </si>
  <si>
    <t xml:space="preserve">Log de consola (sección 17 del documento técnico)</t>
  </si>
  <si>
    <t xml:space="preserve">TC-21</t>
  </si>
  <si>
    <t xml:space="preserve">npm test</t>
  </si>
  <si>
    <t xml:space="preserve">Ejecutar npm test</t>
  </si>
  <si>
    <t xml:space="preserve">Todas las pruebas de Node pasan</t>
  </si>
  <si>
    <t xml:space="preserve">EJECUTADO REALMENTE en esta documentación: 18 de 18 pruebas superadas (0 fallidas)</t>
  </si>
  <si>
    <t xml:space="preserve">TC-22</t>
  </si>
  <si>
    <t xml:space="preserve">Cobertura total de pruebas Node</t>
  </si>
  <si>
    <t xml:space="preserve">Dependencias instaladas</t>
  </si>
  <si>
    <t xml:space="preserve">Conteo de casos en tests/*.test.js</t>
  </si>
  <si>
    <t xml:space="preserve">18 casos (auth 3, venta 8, facturación 3, auditoría 4)</t>
  </si>
  <si>
    <t xml:space="preserve">Verificado contando los bloques test()/it() en cada archivo</t>
  </si>
  <si>
    <t xml:space="preserve">N/A</t>
  </si>
  <si>
    <t xml:space="preserve">TC-23</t>
  </si>
  <si>
    <t xml:space="preserve">Instalación</t>
  </si>
  <si>
    <t xml:space="preserve">Script Full crea el esquema completo</t>
  </si>
  <si>
    <t xml:space="preserve">Base de datos SecureFinanceERP vacía</t>
  </si>
  <si>
    <t xml:space="preserve">Ejecutar database/SecureFinanceERP_Full.sql</t>
  </si>
  <si>
    <t xml:space="preserve">Se crean 13 tablas, 10 procedimientos, 4 funciones y 3 triggers sin errores</t>
  </si>
  <si>
    <t xml:space="preserve">Verificado por revisión y conteo directo del script; pendiente ejecución real contra una instancia SQL Server</t>
  </si>
  <si>
    <t xml:space="preserve">Captura SQL #10-13</t>
  </si>
  <si>
    <t xml:space="preserve">TC-24</t>
  </si>
  <si>
    <t xml:space="preserve">Instalación modular</t>
  </si>
  <si>
    <t xml:space="preserve">Orden de los 10 scripts numerados</t>
  </si>
  <si>
    <t xml:space="preserve">Ejecutar 01 a 10 en orden</t>
  </si>
  <si>
    <t xml:space="preserve">Cada script se ejecuta sin errores de dependencia (FK, triggers)</t>
  </si>
  <si>
    <t xml:space="preserve">Verificado por análisis de dependencias entre scripts; pendiente ejecución real</t>
  </si>
  <si>
    <t xml:space="preserve">Resumen de la matriz de pruebas — SecureFinance ERP</t>
  </si>
  <si>
    <t xml:space="preserve">Cantidad de casos</t>
  </si>
  <si>
    <t xml:space="preserve">% del total</t>
  </si>
  <si>
    <t xml:space="preserve">NO APLICA</t>
  </si>
  <si>
    <t xml:space="preserve">Total de casos</t>
  </si>
  <si>
    <t xml:space="preserve">Nota: ningún caso se marca VALIDADO sin evidencia concreta (ejecución real o revisión directa del código/script).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</si>
</sst>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64E5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727D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64E56"/>
        <bgColor rgb="FF333333"/>
      </patternFill>
    </fill>
    <fill>
      <patternFill patternType="solid">
        <fgColor rgb="FFF8F7F3"/>
        <bgColor rgb="FFFFFFFF"/>
      </patternFill>
    </fill>
    <fill>
      <patternFill patternType="solid">
        <fgColor rgb="FFC6E0B4"/>
        <bgColor rgb="FFD8D8D2"/>
      </patternFill>
    </fill>
    <fill>
      <patternFill patternType="solid">
        <fgColor rgb="FFFFE699"/>
        <bgColor rgb="FFFFCC99"/>
      </patternFill>
    </fill>
    <fill>
      <patternFill patternType="solid">
        <fgColor rgb="FFD9D9D9"/>
        <bgColor rgb="FFD8D8D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8D2"/>
      </left>
      <right style="thin">
        <color rgb="FFD8D8D2"/>
      </right>
      <top style="thin">
        <color rgb="FFD8D8D2"/>
      </top>
      <bottom style="thin">
        <color rgb="FFD8D8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4E56"/>
          <bgColor rgb="FF000000"/>
        </patternFill>
      </fill>
    </dxf>
    <dxf>
      <fill>
        <patternFill patternType="solid">
          <fgColor rgb="FFF8F7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8D2"/>
      <rgbColor rgb="FF808080"/>
      <rgbColor rgb="FF9999FF"/>
      <rgbColor rgb="FF993366"/>
      <rgbColor rgb="FFF8F7F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27D"/>
      <rgbColor rgb="FF969696"/>
      <rgbColor rgb="FF164E5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MatrizPruebas" displayName="MatrizPruebas" ref="A1:I25" headerRowCount="1" totalsRowCount="0" totalsRowShown="0">
  <autoFilter ref="A1:I25"/>
  <tableColumns count="9">
    <tableColumn id="1" name="ID"/>
    <tableColumn id="2" name="Módulo"/>
    <tableColumn id="3" name="Prueba"/>
    <tableColumn id="4" name="Precondición"/>
    <tableColumn id="5" name="Entrada"/>
    <tableColumn id="6" name="Resultado esperado"/>
    <tableColumn id="7" name="Resultado obtenido"/>
    <tableColumn id="8" name="Estado"/>
    <tableColumn id="9" name="Evidenci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4" min="3" style="0" width="26"/>
    <col collapsed="false" customWidth="true" hidden="false" outlineLevel="0" max="5" min="5" style="0" width="30"/>
    <col collapsed="false" customWidth="true" hidden="false" outlineLevel="0" max="7" min="6" style="0" width="3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35.0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3" t="s">
        <v>16</v>
      </c>
      <c r="I2" s="2" t="s">
        <v>17</v>
      </c>
    </row>
    <row r="3" customFormat="false" ht="46.25" hidden="false" customHeight="false" outlineLevel="0" collapsed="false">
      <c r="A3" s="4" t="s">
        <v>18</v>
      </c>
      <c r="B3" s="4" t="s">
        <v>10</v>
      </c>
      <c r="C3" s="4" t="s">
        <v>19</v>
      </c>
      <c r="D3" s="4" t="s">
        <v>20</v>
      </c>
      <c r="E3" s="4" t="s">
        <v>21</v>
      </c>
      <c r="F3" s="4" t="s">
        <v>22</v>
      </c>
      <c r="G3" s="4" t="s">
        <v>23</v>
      </c>
      <c r="H3" s="3" t="s">
        <v>16</v>
      </c>
      <c r="I3" s="4" t="s">
        <v>24</v>
      </c>
    </row>
    <row r="4" customFormat="false" ht="46.25" hidden="false" customHeight="false" outlineLevel="0" collapsed="false">
      <c r="A4" s="2" t="s">
        <v>25</v>
      </c>
      <c r="B4" s="2" t="s">
        <v>10</v>
      </c>
      <c r="C4" s="2" t="s">
        <v>26</v>
      </c>
      <c r="D4" s="2" t="s">
        <v>27</v>
      </c>
      <c r="E4" s="2" t="s">
        <v>28</v>
      </c>
      <c r="F4" s="2" t="s">
        <v>29</v>
      </c>
      <c r="G4" s="2" t="s">
        <v>30</v>
      </c>
      <c r="H4" s="3" t="s">
        <v>16</v>
      </c>
      <c r="I4" s="2" t="s">
        <v>24</v>
      </c>
    </row>
    <row r="5" customFormat="false" ht="35.05" hidden="false" customHeight="false" outlineLevel="0" collapsed="false">
      <c r="A5" s="4" t="s">
        <v>31</v>
      </c>
      <c r="B5" s="4" t="s">
        <v>10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30</v>
      </c>
      <c r="H5" s="3" t="s">
        <v>16</v>
      </c>
      <c r="I5" s="4" t="s">
        <v>24</v>
      </c>
    </row>
    <row r="6" customFormat="false" ht="35.05" hidden="false" customHeight="false" outlineLevel="0" collapsed="false">
      <c r="A6" s="2" t="s">
        <v>36</v>
      </c>
      <c r="B6" s="2" t="s">
        <v>10</v>
      </c>
      <c r="C6" s="2" t="s">
        <v>37</v>
      </c>
      <c r="D6" s="2" t="s">
        <v>38</v>
      </c>
      <c r="E6" s="2" t="s">
        <v>39</v>
      </c>
      <c r="F6" s="2" t="s">
        <v>40</v>
      </c>
      <c r="G6" s="2" t="s">
        <v>41</v>
      </c>
      <c r="H6" s="3" t="s">
        <v>16</v>
      </c>
      <c r="I6" s="2" t="s">
        <v>24</v>
      </c>
    </row>
    <row r="7" customFormat="false" ht="35.05" hidden="false" customHeight="false" outlineLevel="0" collapsed="false">
      <c r="A7" s="4" t="s">
        <v>42</v>
      </c>
      <c r="B7" s="4" t="s">
        <v>43</v>
      </c>
      <c r="C7" s="4" t="s">
        <v>44</v>
      </c>
      <c r="D7" s="4" t="s">
        <v>45</v>
      </c>
      <c r="E7" s="4" t="s">
        <v>46</v>
      </c>
      <c r="F7" s="4" t="s">
        <v>47</v>
      </c>
      <c r="G7" s="4" t="s">
        <v>48</v>
      </c>
      <c r="H7" s="3" t="s">
        <v>16</v>
      </c>
      <c r="I7" s="4" t="s">
        <v>49</v>
      </c>
    </row>
    <row r="8" customFormat="false" ht="23.85" hidden="false" customHeight="false" outlineLevel="0" collapsed="false">
      <c r="A8" s="2" t="s">
        <v>50</v>
      </c>
      <c r="B8" s="2" t="s">
        <v>43</v>
      </c>
      <c r="C8" s="2" t="s">
        <v>51</v>
      </c>
      <c r="D8" s="2" t="s">
        <v>52</v>
      </c>
      <c r="E8" s="2" t="s">
        <v>53</v>
      </c>
      <c r="F8" s="2" t="s">
        <v>54</v>
      </c>
      <c r="G8" s="2" t="s">
        <v>55</v>
      </c>
      <c r="H8" s="3" t="s">
        <v>16</v>
      </c>
      <c r="I8" s="2" t="s">
        <v>49</v>
      </c>
    </row>
    <row r="9" customFormat="false" ht="35.05" hidden="false" customHeight="false" outlineLevel="0" collapsed="false">
      <c r="A9" s="4" t="s">
        <v>56</v>
      </c>
      <c r="B9" s="4" t="s">
        <v>57</v>
      </c>
      <c r="C9" s="4" t="s">
        <v>58</v>
      </c>
      <c r="D9" s="4" t="s">
        <v>59</v>
      </c>
      <c r="E9" s="4" t="s">
        <v>60</v>
      </c>
      <c r="F9" s="4" t="s">
        <v>61</v>
      </c>
      <c r="G9" s="4" t="s">
        <v>62</v>
      </c>
      <c r="H9" s="3" t="s">
        <v>16</v>
      </c>
      <c r="I9" s="4" t="s">
        <v>63</v>
      </c>
    </row>
    <row r="10" customFormat="false" ht="46.25" hidden="false" customHeight="false" outlineLevel="0" collapsed="false">
      <c r="A10" s="2" t="s">
        <v>64</v>
      </c>
      <c r="B10" s="2" t="s">
        <v>57</v>
      </c>
      <c r="C10" s="2" t="s">
        <v>65</v>
      </c>
      <c r="D10" s="2" t="s">
        <v>66</v>
      </c>
      <c r="E10" s="2" t="s">
        <v>67</v>
      </c>
      <c r="F10" s="2" t="s">
        <v>68</v>
      </c>
      <c r="G10" s="2" t="s">
        <v>69</v>
      </c>
      <c r="H10" s="3" t="s">
        <v>16</v>
      </c>
      <c r="I10" s="2" t="s">
        <v>70</v>
      </c>
    </row>
    <row r="11" customFormat="false" ht="46.25" hidden="false" customHeight="false" outlineLevel="0" collapsed="false">
      <c r="A11" s="4" t="s">
        <v>71</v>
      </c>
      <c r="B11" s="4" t="s">
        <v>57</v>
      </c>
      <c r="C11" s="4" t="s">
        <v>72</v>
      </c>
      <c r="D11" s="4" t="s">
        <v>73</v>
      </c>
      <c r="E11" s="4" t="s">
        <v>74</v>
      </c>
      <c r="F11" s="4" t="s">
        <v>75</v>
      </c>
      <c r="G11" s="4" t="s">
        <v>76</v>
      </c>
      <c r="H11" s="3" t="s">
        <v>16</v>
      </c>
      <c r="I11" s="4" t="s">
        <v>77</v>
      </c>
    </row>
    <row r="12" customFormat="false" ht="35.05" hidden="false" customHeight="false" outlineLevel="0" collapsed="false">
      <c r="A12" s="2" t="s">
        <v>78</v>
      </c>
      <c r="B12" s="2" t="s">
        <v>57</v>
      </c>
      <c r="C12" s="2" t="s">
        <v>79</v>
      </c>
      <c r="D12" s="2" t="s">
        <v>27</v>
      </c>
      <c r="E12" s="2" t="s">
        <v>80</v>
      </c>
      <c r="F12" s="2" t="s">
        <v>81</v>
      </c>
      <c r="G12" s="2" t="s">
        <v>82</v>
      </c>
      <c r="H12" s="3" t="s">
        <v>16</v>
      </c>
      <c r="I12" s="2" t="s">
        <v>83</v>
      </c>
    </row>
    <row r="13" customFormat="false" ht="23.85" hidden="false" customHeight="false" outlineLevel="0" collapsed="false">
      <c r="A13" s="4" t="s">
        <v>84</v>
      </c>
      <c r="B13" s="4" t="s">
        <v>57</v>
      </c>
      <c r="C13" s="4" t="s">
        <v>85</v>
      </c>
      <c r="D13" s="4" t="s">
        <v>27</v>
      </c>
      <c r="E13" s="4" t="s">
        <v>86</v>
      </c>
      <c r="F13" s="4" t="s">
        <v>87</v>
      </c>
      <c r="G13" s="4" t="s">
        <v>82</v>
      </c>
      <c r="H13" s="3" t="s">
        <v>16</v>
      </c>
      <c r="I13" s="4" t="s">
        <v>83</v>
      </c>
    </row>
    <row r="14" customFormat="false" ht="46.25" hidden="false" customHeight="false" outlineLevel="0" collapsed="false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92</v>
      </c>
      <c r="F14" s="2" t="s">
        <v>93</v>
      </c>
      <c r="G14" s="2" t="s">
        <v>94</v>
      </c>
      <c r="H14" s="3" t="s">
        <v>16</v>
      </c>
      <c r="I14" s="2" t="s">
        <v>95</v>
      </c>
    </row>
    <row r="15" customFormat="false" ht="35.05" hidden="false" customHeight="false" outlineLevel="0" collapsed="false">
      <c r="A15" s="4" t="s">
        <v>96</v>
      </c>
      <c r="B15" s="4" t="s">
        <v>97</v>
      </c>
      <c r="C15" s="4" t="s">
        <v>98</v>
      </c>
      <c r="D15" s="4" t="s">
        <v>27</v>
      </c>
      <c r="E15" s="4" t="s">
        <v>99</v>
      </c>
      <c r="F15" s="4" t="s">
        <v>100</v>
      </c>
      <c r="G15" s="4" t="s">
        <v>101</v>
      </c>
      <c r="H15" s="5" t="s">
        <v>102</v>
      </c>
      <c r="I15" s="4" t="s">
        <v>103</v>
      </c>
    </row>
    <row r="16" customFormat="false" ht="35.05" hidden="false" customHeight="false" outlineLevel="0" collapsed="false">
      <c r="A16" s="2" t="s">
        <v>104</v>
      </c>
      <c r="B16" s="2" t="s">
        <v>97</v>
      </c>
      <c r="C16" s="2" t="s">
        <v>105</v>
      </c>
      <c r="D16" s="2" t="s">
        <v>106</v>
      </c>
      <c r="E16" s="2" t="s">
        <v>107</v>
      </c>
      <c r="F16" s="2" t="s">
        <v>108</v>
      </c>
      <c r="G16" s="2" t="s">
        <v>109</v>
      </c>
      <c r="H16" s="5" t="s">
        <v>102</v>
      </c>
      <c r="I16" s="2" t="s">
        <v>110</v>
      </c>
    </row>
    <row r="17" customFormat="false" ht="35.05" hidden="false" customHeight="false" outlineLevel="0" collapsed="false">
      <c r="A17" s="4" t="s">
        <v>111</v>
      </c>
      <c r="B17" s="4" t="s">
        <v>97</v>
      </c>
      <c r="C17" s="4" t="s">
        <v>112</v>
      </c>
      <c r="D17" s="4" t="s">
        <v>27</v>
      </c>
      <c r="E17" s="4" t="s">
        <v>113</v>
      </c>
      <c r="F17" s="4" t="s">
        <v>114</v>
      </c>
      <c r="G17" s="4" t="s">
        <v>115</v>
      </c>
      <c r="H17" s="5" t="s">
        <v>102</v>
      </c>
      <c r="I17" s="4" t="s">
        <v>110</v>
      </c>
    </row>
    <row r="18" customFormat="false" ht="46.25" hidden="false" customHeight="false" outlineLevel="0" collapsed="false">
      <c r="A18" s="2" t="s">
        <v>116</v>
      </c>
      <c r="B18" s="2" t="s">
        <v>97</v>
      </c>
      <c r="C18" s="2" t="s">
        <v>117</v>
      </c>
      <c r="D18" s="2" t="s">
        <v>118</v>
      </c>
      <c r="E18" s="2" t="s">
        <v>119</v>
      </c>
      <c r="F18" s="2" t="s">
        <v>120</v>
      </c>
      <c r="G18" s="2" t="s">
        <v>121</v>
      </c>
      <c r="H18" s="5" t="s">
        <v>102</v>
      </c>
      <c r="I18" s="2" t="s">
        <v>122</v>
      </c>
    </row>
    <row r="19" customFormat="false" ht="46.25" hidden="false" customHeight="false" outlineLevel="0" collapsed="false">
      <c r="A19" s="4" t="s">
        <v>123</v>
      </c>
      <c r="B19" s="4" t="s">
        <v>124</v>
      </c>
      <c r="C19" s="4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5" t="s">
        <v>102</v>
      </c>
      <c r="I19" s="4" t="s">
        <v>130</v>
      </c>
    </row>
    <row r="20" customFormat="false" ht="46.25" hidden="false" customHeight="false" outlineLevel="0" collapsed="false">
      <c r="A20" s="2" t="s">
        <v>131</v>
      </c>
      <c r="B20" s="2" t="s">
        <v>124</v>
      </c>
      <c r="C20" s="2" t="s">
        <v>132</v>
      </c>
      <c r="D20" s="2" t="s">
        <v>126</v>
      </c>
      <c r="E20" s="2" t="s">
        <v>133</v>
      </c>
      <c r="F20" s="2" t="s">
        <v>134</v>
      </c>
      <c r="G20" s="2" t="s">
        <v>135</v>
      </c>
      <c r="H20" s="5" t="s">
        <v>102</v>
      </c>
      <c r="I20" s="2" t="s">
        <v>136</v>
      </c>
    </row>
    <row r="21" customFormat="false" ht="23.85" hidden="false" customHeight="false" outlineLevel="0" collapsed="false">
      <c r="A21" s="4" t="s">
        <v>137</v>
      </c>
      <c r="B21" s="4" t="s">
        <v>138</v>
      </c>
      <c r="C21" s="4" t="s">
        <v>139</v>
      </c>
      <c r="D21" s="4" t="s">
        <v>140</v>
      </c>
      <c r="E21" s="4" t="s">
        <v>141</v>
      </c>
      <c r="F21" s="4" t="s">
        <v>142</v>
      </c>
      <c r="G21" s="4" t="s">
        <v>143</v>
      </c>
      <c r="H21" s="3" t="s">
        <v>16</v>
      </c>
      <c r="I21" s="4" t="s">
        <v>144</v>
      </c>
    </row>
    <row r="22" customFormat="false" ht="35.05" hidden="false" customHeight="false" outlineLevel="0" collapsed="false">
      <c r="A22" s="2" t="s">
        <v>145</v>
      </c>
      <c r="B22" s="2" t="s">
        <v>138</v>
      </c>
      <c r="C22" s="2" t="s">
        <v>146</v>
      </c>
      <c r="D22" s="2" t="s">
        <v>140</v>
      </c>
      <c r="E22" s="2" t="s">
        <v>147</v>
      </c>
      <c r="F22" s="2" t="s">
        <v>148</v>
      </c>
      <c r="G22" s="2" t="s">
        <v>149</v>
      </c>
      <c r="H22" s="3" t="s">
        <v>16</v>
      </c>
      <c r="I22" s="2" t="s">
        <v>144</v>
      </c>
    </row>
    <row r="23" customFormat="false" ht="23.85" hidden="false" customHeight="false" outlineLevel="0" collapsed="false">
      <c r="A23" s="4" t="s">
        <v>150</v>
      </c>
      <c r="B23" s="4" t="s">
        <v>138</v>
      </c>
      <c r="C23" s="4" t="s">
        <v>151</v>
      </c>
      <c r="D23" s="4" t="s">
        <v>152</v>
      </c>
      <c r="E23" s="4" t="s">
        <v>153</v>
      </c>
      <c r="F23" s="4" t="s">
        <v>154</v>
      </c>
      <c r="G23" s="4" t="s">
        <v>155</v>
      </c>
      <c r="H23" s="3" t="s">
        <v>16</v>
      </c>
      <c r="I23" s="4" t="s">
        <v>156</v>
      </c>
    </row>
    <row r="24" customFormat="false" ht="35.05" hidden="false" customHeight="false" outlineLevel="0" collapsed="false">
      <c r="A24" s="2" t="s">
        <v>157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  <c r="H24" s="5" t="s">
        <v>102</v>
      </c>
      <c r="I24" s="2" t="s">
        <v>164</v>
      </c>
    </row>
    <row r="25" customFormat="false" ht="23.85" hidden="false" customHeight="false" outlineLevel="0" collapsed="false">
      <c r="A25" s="4" t="s">
        <v>165</v>
      </c>
      <c r="B25" s="4" t="s">
        <v>166</v>
      </c>
      <c r="C25" s="4" t="s">
        <v>167</v>
      </c>
      <c r="D25" s="4" t="s">
        <v>160</v>
      </c>
      <c r="E25" s="4" t="s">
        <v>168</v>
      </c>
      <c r="F25" s="4" t="s">
        <v>169</v>
      </c>
      <c r="G25" s="4" t="s">
        <v>170</v>
      </c>
      <c r="H25" s="5" t="s">
        <v>102</v>
      </c>
      <c r="I25" s="4" t="s">
        <v>156</v>
      </c>
    </row>
  </sheetData>
  <autoFilter ref="A1:I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6" t="s">
        <v>171</v>
      </c>
      <c r="B1" s="6"/>
      <c r="C1" s="6"/>
    </row>
    <row r="3" customFormat="false" ht="15" hidden="false" customHeight="false" outlineLevel="0" collapsed="false">
      <c r="A3" s="7" t="s">
        <v>7</v>
      </c>
      <c r="B3" s="7" t="s">
        <v>172</v>
      </c>
      <c r="C3" s="7" t="s">
        <v>173</v>
      </c>
    </row>
    <row r="4" customFormat="false" ht="15" hidden="false" customHeight="false" outlineLevel="0" collapsed="false">
      <c r="A4" s="8" t="s">
        <v>16</v>
      </c>
      <c r="B4" s="9" t="n">
        <f aca="false">COUNTIF('Matriz de Pruebas'!H2:H25,A4)</f>
        <v>16</v>
      </c>
      <c r="C4" s="10" t="n">
        <f aca="false">B4/SUM($B$4:$B$6)</f>
        <v>0.666666666666667</v>
      </c>
    </row>
    <row r="5" customFormat="false" ht="15" hidden="false" customHeight="false" outlineLevel="0" collapsed="false">
      <c r="A5" s="11" t="s">
        <v>102</v>
      </c>
      <c r="B5" s="9" t="n">
        <f aca="false">COUNTIF('Matriz de Pruebas'!H2:H25,A5)</f>
        <v>8</v>
      </c>
      <c r="C5" s="10" t="n">
        <f aca="false">B5/SUM($B$4:$B$6)</f>
        <v>0.333333333333333</v>
      </c>
    </row>
    <row r="6" customFormat="false" ht="15" hidden="false" customHeight="false" outlineLevel="0" collapsed="false">
      <c r="A6" s="12" t="s">
        <v>174</v>
      </c>
      <c r="B6" s="9" t="n">
        <f aca="false">COUNTIF('Matriz de Pruebas'!H2:H25,A6)</f>
        <v>0</v>
      </c>
      <c r="C6" s="10" t="n">
        <f aca="false">B6/SUM($B$4:$B$6)</f>
        <v>0</v>
      </c>
    </row>
    <row r="7" customFormat="false" ht="15" hidden="false" customHeight="false" outlineLevel="0" collapsed="false">
      <c r="A7" s="13" t="s">
        <v>175</v>
      </c>
      <c r="B7" s="13" t="n">
        <f aca="false">SUM(B4:B6)</f>
        <v>24</v>
      </c>
    </row>
    <row r="9" customFormat="false" ht="15" hidden="false" customHeight="false" outlineLevel="0" collapsed="false">
      <c r="A9" s="14" t="s">
        <v>176</v>
      </c>
      <c r="B9" s="14"/>
      <c r="C9" s="14"/>
      <c r="D9" s="14"/>
      <c r="E9" s="14"/>
      <c r="F9" s="14"/>
    </row>
  </sheetData>
  <mergeCells count="2">
    <mergeCell ref="A1:C1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2026-09-24T13:16:14Z</dcterms:created>
  <dc:creator>openpyxl</dc:creator>
  <dc:description/>
  <dc:language>en-US</dc:language>
  <cp:lastModifiedBy/>
  <dcterms:modified xsi:type="dcterms:W3CDTF">2026-09-24T13:16:14Z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